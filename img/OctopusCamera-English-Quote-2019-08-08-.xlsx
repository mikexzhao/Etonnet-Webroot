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Octopus OV7725-110K" sheetId="1" r:id="rId1"/>
    <sheet name="Octopus OV7725-206K" sheetId="6" r:id="rId2"/>
    <sheet name="Octopus OV7725-260K" sheetId="7" r:id="rId3"/>
    <sheet name="Octopus OV7725-320K" sheetId="8" r:id="rId4"/>
    <sheet name="Sample production" sheetId="10" r:id="rId5"/>
  </sheets>
  <calcPr calcId="152511"/>
</workbook>
</file>

<file path=xl/calcChain.xml><?xml version="1.0" encoding="utf-8"?>
<calcChain xmlns="http://schemas.openxmlformats.org/spreadsheetml/2006/main">
  <c r="D6" i="7" l="1"/>
  <c r="D6" i="6"/>
  <c r="D6" i="8"/>
  <c r="D5" i="8"/>
  <c r="F5" i="8" s="1"/>
  <c r="D4" i="8"/>
  <c r="F4" i="8" s="1"/>
  <c r="D3" i="8"/>
  <c r="F3" i="8" s="1"/>
  <c r="D2" i="8"/>
  <c r="D5" i="7"/>
  <c r="F5" i="7" s="1"/>
  <c r="D4" i="7"/>
  <c r="F4" i="7" s="1"/>
  <c r="D3" i="7"/>
  <c r="F3" i="7" s="1"/>
  <c r="D2" i="7"/>
  <c r="F2" i="7" s="1"/>
  <c r="D3" i="6"/>
  <c r="F3" i="6" s="1"/>
  <c r="D5" i="6"/>
  <c r="F5" i="6" s="1"/>
  <c r="D4" i="6"/>
  <c r="F4" i="6" s="1"/>
  <c r="D2" i="6"/>
  <c r="F2" i="8" l="1"/>
  <c r="F6" i="8"/>
  <c r="F6" i="7"/>
  <c r="F7" i="7" s="1"/>
  <c r="F6" i="6"/>
  <c r="F2" i="6"/>
  <c r="D5" i="1"/>
  <c r="F5" i="1" s="1"/>
  <c r="D4" i="1"/>
  <c r="F4" i="1" s="1"/>
  <c r="D3" i="1"/>
  <c r="D2" i="1"/>
  <c r="F2" i="1" s="1"/>
  <c r="F7" i="8" l="1"/>
  <c r="D7" i="8"/>
  <c r="D7" i="7"/>
  <c r="F7" i="6"/>
  <c r="D7" i="6"/>
  <c r="D6" i="1"/>
  <c r="F6" i="1" s="1"/>
  <c r="F3" i="1"/>
  <c r="F7" i="1" l="1"/>
  <c r="D7" i="1"/>
</calcChain>
</file>

<file path=xl/sharedStrings.xml><?xml version="1.0" encoding="utf-8"?>
<sst xmlns="http://schemas.openxmlformats.org/spreadsheetml/2006/main" count="115" uniqueCount="32">
  <si>
    <t>Item</t>
  </si>
  <si>
    <t>Production Cost</t>
  </si>
  <si>
    <t>Total</t>
  </si>
  <si>
    <t>Price</t>
  </si>
  <si>
    <t>Comments</t>
  </si>
  <si>
    <t>Module BOM cost</t>
  </si>
  <si>
    <t>Include,
1. SMT (double side SMT)
2. Solder FPC to OV7725 module
3. Assembly lens holder to PCB board
4. Pre-Focus Lens
5. Testing and QC
6. Re-work on the defective units</t>
  </si>
  <si>
    <t>Anti-static bag</t>
  </si>
  <si>
    <t>QTY/Set</t>
  </si>
  <si>
    <t>Packing and shipping handling</t>
  </si>
  <si>
    <t>Cost/Set</t>
  </si>
  <si>
    <t>EtonTech revenue</t>
  </si>
  <si>
    <t>Special discount: 13% for this order</t>
  </si>
  <si>
    <t>Prod QTY</t>
  </si>
  <si>
    <t xml:space="preserve">2. NRE for SMT: $90 </t>
  </si>
  <si>
    <t>Note:</t>
  </si>
  <si>
    <t>One time cost for Octopus OV7725</t>
  </si>
  <si>
    <t>1. All prices indicated here are FOB China</t>
  </si>
  <si>
    <t>3. Shipping cost to HK will be reimbursed based on the shipping receipt.</t>
  </si>
  <si>
    <t>2. Quote date: August 9th, 2019. The quote is valid for 30 days.</t>
  </si>
  <si>
    <t>4. Since the special requirements on Lens and Lens holder, our partner LENS company will create a customized model for us.</t>
  </si>
  <si>
    <t>3. NRE  and testing kit for PCB: $80 (Charged by PCB factory)</t>
  </si>
  <si>
    <t>packing the single unit</t>
  </si>
  <si>
    <t>include,
1. Carton box cost
2. Shipping material cost
3. Labor cost to pack each unit to carton
4. Export doc processing and fees</t>
  </si>
  <si>
    <t>Include,
1. OV7725 sensor (Directly get from OmniVision)
2. Lens holder (Customized version)
3. Lens  (Customized version)
4. PCB and all components supporting CMOS image sensor
5. FPC (0.3mm thickness)</t>
  </si>
  <si>
    <t>1. Stencil panels: $100 (2 stencil panels for double sides SMT)</t>
  </si>
  <si>
    <t>4. NRE and testing kit for FPC $80 (Charged by FPCB factory)</t>
  </si>
  <si>
    <t>Special discount: 10.5% for this order</t>
  </si>
  <si>
    <t>Special discount: 12% for this order</t>
  </si>
  <si>
    <t>1. Design and layout the PCB board including both PCB and FPC: $2800</t>
  </si>
  <si>
    <t>Sample production cost:</t>
  </si>
  <si>
    <t>2. Create 5 sample units: $1000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</si>
</sst>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0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2" fillId="0" borderId="1" xfId="0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Fill="1" applyBorder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165" fontId="0" fillId="0" borderId="1" xfId="0" applyNumberFormat="1" applyFont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27759</xdr:colOff>
      <xdr:row>22</xdr:row>
      <xdr:rowOff>9525</xdr:rowOff>
    </xdr:from>
    <xdr:to>
      <xdr:col>7</xdr:col>
      <xdr:colOff>0</xdr:colOff>
      <xdr:row>45</xdr:row>
      <xdr:rowOff>7095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9" y="7724775"/>
          <a:ext cx="9154341" cy="43790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27759</xdr:colOff>
      <xdr:row>22</xdr:row>
      <xdr:rowOff>9525</xdr:rowOff>
    </xdr:from>
    <xdr:to>
      <xdr:col>7</xdr:col>
      <xdr:colOff>0</xdr:colOff>
      <xdr:row>45</xdr:row>
      <xdr:rowOff>7095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9" y="7724775"/>
          <a:ext cx="9154341" cy="43790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27759</xdr:colOff>
      <xdr:row>22</xdr:row>
      <xdr:rowOff>9525</xdr:rowOff>
    </xdr:from>
    <xdr:to>
      <xdr:col>7</xdr:col>
      <xdr:colOff>0</xdr:colOff>
      <xdr:row>45</xdr:row>
      <xdr:rowOff>7095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9" y="7724775"/>
          <a:ext cx="9154341" cy="43790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27759</xdr:colOff>
      <xdr:row>22</xdr:row>
      <xdr:rowOff>9525</xdr:rowOff>
    </xdr:from>
    <xdr:to>
      <xdr:col>7</xdr:col>
      <xdr:colOff>0</xdr:colOff>
      <xdr:row>45</xdr:row>
      <xdr:rowOff>7095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9" y="7724775"/>
          <a:ext cx="9154341" cy="43790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16" workbookViewId="0">
      <selection activeCell="M54" sqref="M54"/>
    </sheetView>
  </sheetViews>
  <sheetFormatPr defaultRowHeight="15" x14ac:dyDescent="0.25"/>
  <cols>
    <col min="1" max="1" width="21" style="33" customWidth="1"/>
    <col min="2" max="2" width="10.5703125" style="4" customWidth="1"/>
    <col min="3" max="4" width="12.85546875" style="4" customWidth="1"/>
    <col min="5" max="5" width="13.85546875" customWidth="1"/>
    <col min="6" max="6" width="14.85546875" customWidth="1"/>
    <col min="7" max="7" width="51.7109375" customWidth="1"/>
  </cols>
  <sheetData>
    <row r="1" spans="1:7" s="5" customFormat="1" x14ac:dyDescent="0.25">
      <c r="A1" s="31" t="s">
        <v>0</v>
      </c>
      <c r="B1" s="7" t="s">
        <v>8</v>
      </c>
      <c r="C1" s="7" t="s">
        <v>3</v>
      </c>
      <c r="D1" s="7" t="s">
        <v>10</v>
      </c>
      <c r="E1" s="12" t="s">
        <v>13</v>
      </c>
      <c r="F1" s="12" t="s">
        <v>2</v>
      </c>
      <c r="G1" s="7" t="s">
        <v>4</v>
      </c>
    </row>
    <row r="2" spans="1:7" s="9" customFormat="1" ht="105" x14ac:dyDescent="0.25">
      <c r="A2" s="10" t="s">
        <v>5</v>
      </c>
      <c r="B2" s="6">
        <v>1</v>
      </c>
      <c r="C2" s="8">
        <v>3.37</v>
      </c>
      <c r="D2" s="8">
        <f>C2*B2</f>
        <v>3.37</v>
      </c>
      <c r="E2" s="13">
        <v>110000</v>
      </c>
      <c r="F2" s="14">
        <f>E2*D2</f>
        <v>370700</v>
      </c>
      <c r="G2" s="10" t="s">
        <v>24</v>
      </c>
    </row>
    <row r="3" spans="1:7" s="9" customFormat="1" ht="105" x14ac:dyDescent="0.25">
      <c r="A3" s="10" t="s">
        <v>1</v>
      </c>
      <c r="B3" s="16">
        <v>1</v>
      </c>
      <c r="C3" s="11">
        <v>1.034</v>
      </c>
      <c r="D3" s="8">
        <f t="shared" ref="D3:D5" si="0">C3*B3</f>
        <v>1.034</v>
      </c>
      <c r="E3" s="13">
        <v>110000</v>
      </c>
      <c r="F3" s="14">
        <f t="shared" ref="F3:F6" si="1">E3*D3</f>
        <v>113740</v>
      </c>
      <c r="G3" s="15" t="s">
        <v>6</v>
      </c>
    </row>
    <row r="4" spans="1:7" s="20" customFormat="1" ht="23.1" customHeight="1" x14ac:dyDescent="0.25">
      <c r="A4" s="32" t="s">
        <v>7</v>
      </c>
      <c r="B4" s="18">
        <v>1</v>
      </c>
      <c r="C4" s="19">
        <v>2.2100000000000002E-2</v>
      </c>
      <c r="D4" s="8">
        <f t="shared" si="0"/>
        <v>2.2100000000000002E-2</v>
      </c>
      <c r="E4" s="13">
        <v>110000</v>
      </c>
      <c r="F4" s="14">
        <f t="shared" si="1"/>
        <v>2431</v>
      </c>
      <c r="G4" s="17" t="s">
        <v>22</v>
      </c>
    </row>
    <row r="5" spans="1:7" s="25" customFormat="1" ht="75" x14ac:dyDescent="0.25">
      <c r="A5" s="24" t="s">
        <v>9</v>
      </c>
      <c r="B5" s="22">
        <v>1</v>
      </c>
      <c r="C5" s="23">
        <v>3.5299999999999998E-2</v>
      </c>
      <c r="D5" s="8">
        <f t="shared" si="0"/>
        <v>3.5299999999999998E-2</v>
      </c>
      <c r="E5" s="13">
        <v>110000</v>
      </c>
      <c r="F5" s="14">
        <f t="shared" si="1"/>
        <v>3883</v>
      </c>
      <c r="G5" s="24" t="s">
        <v>23</v>
      </c>
    </row>
    <row r="6" spans="1:7" s="25" customFormat="1" ht="23.1" customHeight="1" x14ac:dyDescent="0.25">
      <c r="A6" s="24" t="s">
        <v>11</v>
      </c>
      <c r="B6" s="22">
        <v>1</v>
      </c>
      <c r="C6" s="23"/>
      <c r="D6" s="23">
        <f>SUM(D2:D5)*0.13</f>
        <v>0.579982</v>
      </c>
      <c r="E6" s="13">
        <v>110000</v>
      </c>
      <c r="F6" s="14">
        <f t="shared" si="1"/>
        <v>63798.02</v>
      </c>
      <c r="G6" s="21" t="s">
        <v>12</v>
      </c>
    </row>
    <row r="7" spans="1:7" s="25" customFormat="1" ht="23.1" customHeight="1" x14ac:dyDescent="0.25">
      <c r="A7" s="36" t="s">
        <v>2</v>
      </c>
      <c r="B7" s="37"/>
      <c r="C7" s="38"/>
      <c r="D7" s="28">
        <f>SUM(D2:D6)</f>
        <v>5.0413820000000005</v>
      </c>
      <c r="E7" s="29"/>
      <c r="F7" s="30">
        <f>SUM(F2:F6)</f>
        <v>554552.02</v>
      </c>
      <c r="G7" s="21"/>
    </row>
    <row r="8" spans="1:7" s="2" customFormat="1" ht="23.1" customHeight="1" x14ac:dyDescent="0.25">
      <c r="A8" s="3"/>
      <c r="B8" s="1"/>
      <c r="C8" s="26"/>
      <c r="D8" s="26"/>
      <c r="F8" s="27"/>
    </row>
    <row r="9" spans="1:7" s="2" customFormat="1" ht="23.1" customHeight="1" x14ac:dyDescent="0.25">
      <c r="A9" s="3"/>
      <c r="B9" s="1"/>
      <c r="C9" s="26"/>
      <c r="D9" s="26"/>
      <c r="F9" s="27"/>
    </row>
    <row r="10" spans="1:7" x14ac:dyDescent="0.25">
      <c r="A10" s="34" t="s">
        <v>16</v>
      </c>
      <c r="B10"/>
      <c r="C10"/>
      <c r="D10"/>
    </row>
    <row r="11" spans="1:7" x14ac:dyDescent="0.25">
      <c r="A11" t="s">
        <v>25</v>
      </c>
      <c r="B11"/>
      <c r="C11"/>
      <c r="D11"/>
    </row>
    <row r="12" spans="1:7" x14ac:dyDescent="0.25">
      <c r="A12" t="s">
        <v>14</v>
      </c>
      <c r="B12"/>
      <c r="C12"/>
      <c r="D12"/>
    </row>
    <row r="13" spans="1:7" x14ac:dyDescent="0.25">
      <c r="A13" t="s">
        <v>21</v>
      </c>
      <c r="B13"/>
      <c r="C13"/>
      <c r="D13"/>
    </row>
    <row r="14" spans="1:7" x14ac:dyDescent="0.25">
      <c r="A14" t="s">
        <v>26</v>
      </c>
      <c r="B14"/>
      <c r="C14"/>
      <c r="D14"/>
    </row>
    <row r="15" spans="1:7" x14ac:dyDescent="0.25">
      <c r="A15"/>
      <c r="B15"/>
      <c r="C15"/>
      <c r="D15"/>
    </row>
    <row r="16" spans="1:7" x14ac:dyDescent="0.25">
      <c r="A16" s="35" t="s">
        <v>15</v>
      </c>
      <c r="B16"/>
      <c r="C16"/>
      <c r="D16"/>
    </row>
    <row r="17" spans="1:7" x14ac:dyDescent="0.25">
      <c r="A17" s="40" t="s">
        <v>17</v>
      </c>
      <c r="B17" s="40"/>
      <c r="C17" s="40"/>
      <c r="D17" s="40"/>
      <c r="E17" s="40"/>
      <c r="F17" s="40"/>
      <c r="G17" s="40"/>
    </row>
    <row r="18" spans="1:7" x14ac:dyDescent="0.25">
      <c r="A18" s="40" t="s">
        <v>19</v>
      </c>
      <c r="B18" s="40"/>
      <c r="C18" s="40"/>
      <c r="D18" s="40"/>
      <c r="E18" s="40"/>
      <c r="F18" s="40"/>
      <c r="G18" s="40"/>
    </row>
    <row r="19" spans="1:7" x14ac:dyDescent="0.25">
      <c r="A19" s="39" t="s">
        <v>18</v>
      </c>
      <c r="B19" s="40"/>
      <c r="C19" s="40"/>
      <c r="D19" s="40"/>
      <c r="E19" s="40"/>
      <c r="F19" s="40"/>
      <c r="G19" s="40"/>
    </row>
    <row r="20" spans="1:7" x14ac:dyDescent="0.25">
      <c r="A20" s="39" t="s">
        <v>20</v>
      </c>
      <c r="B20" s="40"/>
      <c r="C20" s="40"/>
      <c r="D20" s="40"/>
      <c r="E20" s="40"/>
      <c r="F20" s="40"/>
      <c r="G20" s="40"/>
    </row>
  </sheetData>
  <mergeCells count="5">
    <mergeCell ref="A7:C7"/>
    <mergeCell ref="A19:G19"/>
    <mergeCell ref="A18:G18"/>
    <mergeCell ref="A17:G17"/>
    <mergeCell ref="A20:G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7" sqref="D7"/>
    </sheetView>
  </sheetViews>
  <sheetFormatPr defaultRowHeight="15" x14ac:dyDescent="0.25"/>
  <cols>
    <col min="1" max="1" width="21" style="33" customWidth="1"/>
    <col min="2" max="2" width="10.5703125" style="4" customWidth="1"/>
    <col min="3" max="4" width="12.85546875" style="4" customWidth="1"/>
    <col min="5" max="5" width="13.85546875" customWidth="1"/>
    <col min="6" max="6" width="14.85546875" customWidth="1"/>
    <col min="7" max="7" width="51.7109375" customWidth="1"/>
  </cols>
  <sheetData>
    <row r="1" spans="1:7" s="5" customFormat="1" x14ac:dyDescent="0.25">
      <c r="A1" s="31" t="s">
        <v>0</v>
      </c>
      <c r="B1" s="7" t="s">
        <v>8</v>
      </c>
      <c r="C1" s="7" t="s">
        <v>3</v>
      </c>
      <c r="D1" s="7" t="s">
        <v>10</v>
      </c>
      <c r="E1" s="12" t="s">
        <v>13</v>
      </c>
      <c r="F1" s="12" t="s">
        <v>2</v>
      </c>
      <c r="G1" s="7" t="s">
        <v>4</v>
      </c>
    </row>
    <row r="2" spans="1:7" s="9" customFormat="1" ht="105" x14ac:dyDescent="0.25">
      <c r="A2" s="10" t="s">
        <v>5</v>
      </c>
      <c r="B2" s="6">
        <v>1</v>
      </c>
      <c r="C2" s="8">
        <v>3.214</v>
      </c>
      <c r="D2" s="8">
        <f>C2*B2</f>
        <v>3.214</v>
      </c>
      <c r="E2" s="13">
        <v>206000</v>
      </c>
      <c r="F2" s="14">
        <f>E2*D2</f>
        <v>662084</v>
      </c>
      <c r="G2" s="10" t="s">
        <v>24</v>
      </c>
    </row>
    <row r="3" spans="1:7" s="9" customFormat="1" ht="105" x14ac:dyDescent="0.25">
      <c r="A3" s="10" t="s">
        <v>1</v>
      </c>
      <c r="B3" s="16">
        <v>1</v>
      </c>
      <c r="C3" s="8">
        <v>0.98109999999999997</v>
      </c>
      <c r="D3" s="8">
        <f>C3*B3</f>
        <v>0.98109999999999997</v>
      </c>
      <c r="E3" s="13">
        <v>206000</v>
      </c>
      <c r="F3" s="14">
        <f t="shared" ref="F3:F6" si="0">E3*D3</f>
        <v>202106.6</v>
      </c>
      <c r="G3" s="15" t="s">
        <v>6</v>
      </c>
    </row>
    <row r="4" spans="1:7" s="20" customFormat="1" ht="23.1" customHeight="1" x14ac:dyDescent="0.25">
      <c r="A4" s="32" t="s">
        <v>7</v>
      </c>
      <c r="B4" s="18">
        <v>1</v>
      </c>
      <c r="C4" s="19">
        <v>2.2100000000000002E-2</v>
      </c>
      <c r="D4" s="8">
        <f t="shared" ref="D3:D5" si="1">C4*B4</f>
        <v>2.2100000000000002E-2</v>
      </c>
      <c r="E4" s="13">
        <v>206000</v>
      </c>
      <c r="F4" s="14">
        <f t="shared" si="0"/>
        <v>4552.6000000000004</v>
      </c>
      <c r="G4" s="17" t="s">
        <v>22</v>
      </c>
    </row>
    <row r="5" spans="1:7" s="25" customFormat="1" ht="75" x14ac:dyDescent="0.25">
      <c r="A5" s="24" t="s">
        <v>9</v>
      </c>
      <c r="B5" s="22">
        <v>1</v>
      </c>
      <c r="C5" s="23">
        <v>3.2599999999999997E-2</v>
      </c>
      <c r="D5" s="8">
        <f t="shared" si="1"/>
        <v>3.2599999999999997E-2</v>
      </c>
      <c r="E5" s="13">
        <v>206000</v>
      </c>
      <c r="F5" s="14">
        <f t="shared" si="0"/>
        <v>6715.5999999999995</v>
      </c>
      <c r="G5" s="24" t="s">
        <v>23</v>
      </c>
    </row>
    <row r="6" spans="1:7" s="25" customFormat="1" ht="23.1" customHeight="1" x14ac:dyDescent="0.25">
      <c r="A6" s="24" t="s">
        <v>11</v>
      </c>
      <c r="B6" s="22">
        <v>1</v>
      </c>
      <c r="C6" s="23"/>
      <c r="D6" s="41">
        <f>SUM(D2:D5)*0.12</f>
        <v>0.50997599999999998</v>
      </c>
      <c r="E6" s="13">
        <v>206000</v>
      </c>
      <c r="F6" s="14">
        <f t="shared" si="0"/>
        <v>105055.056</v>
      </c>
      <c r="G6" s="21" t="s">
        <v>28</v>
      </c>
    </row>
    <row r="7" spans="1:7" s="25" customFormat="1" ht="23.1" customHeight="1" x14ac:dyDescent="0.25">
      <c r="A7" s="36" t="s">
        <v>2</v>
      </c>
      <c r="B7" s="37"/>
      <c r="C7" s="38"/>
      <c r="D7" s="28">
        <f>SUM(D2:D6)</f>
        <v>4.7597760000000005</v>
      </c>
      <c r="E7" s="29"/>
      <c r="F7" s="30">
        <f>SUM(F2:F6)</f>
        <v>980513.85599999991</v>
      </c>
      <c r="G7" s="21"/>
    </row>
    <row r="8" spans="1:7" s="2" customFormat="1" ht="23.1" customHeight="1" x14ac:dyDescent="0.25">
      <c r="A8" s="3"/>
      <c r="B8" s="1"/>
      <c r="C8" s="26"/>
      <c r="D8" s="26"/>
      <c r="F8" s="27"/>
    </row>
    <row r="9" spans="1:7" s="2" customFormat="1" ht="23.1" customHeight="1" x14ac:dyDescent="0.25">
      <c r="A9" s="3"/>
      <c r="B9" s="1"/>
      <c r="C9" s="26"/>
      <c r="D9" s="26"/>
      <c r="F9" s="27"/>
    </row>
    <row r="10" spans="1:7" x14ac:dyDescent="0.25">
      <c r="A10" s="34" t="s">
        <v>16</v>
      </c>
      <c r="B10"/>
      <c r="C10"/>
      <c r="D10"/>
    </row>
    <row r="11" spans="1:7" x14ac:dyDescent="0.25">
      <c r="A11" t="s">
        <v>25</v>
      </c>
      <c r="B11"/>
      <c r="C11"/>
      <c r="D11"/>
    </row>
    <row r="12" spans="1:7" x14ac:dyDescent="0.25">
      <c r="A12" t="s">
        <v>14</v>
      </c>
      <c r="B12"/>
      <c r="C12"/>
      <c r="D12"/>
    </row>
    <row r="13" spans="1:7" x14ac:dyDescent="0.25">
      <c r="A13" t="s">
        <v>21</v>
      </c>
      <c r="B13"/>
      <c r="C13"/>
      <c r="D13"/>
    </row>
    <row r="14" spans="1:7" x14ac:dyDescent="0.25">
      <c r="A14" t="s">
        <v>26</v>
      </c>
      <c r="B14"/>
      <c r="C14"/>
      <c r="D14"/>
    </row>
    <row r="15" spans="1:7" x14ac:dyDescent="0.25">
      <c r="A15"/>
      <c r="B15"/>
      <c r="C15"/>
      <c r="D15"/>
    </row>
    <row r="16" spans="1:7" x14ac:dyDescent="0.25">
      <c r="A16" s="35" t="s">
        <v>15</v>
      </c>
      <c r="B16"/>
      <c r="C16"/>
      <c r="D16"/>
    </row>
    <row r="17" spans="1:7" x14ac:dyDescent="0.25">
      <c r="A17" s="40" t="s">
        <v>17</v>
      </c>
      <c r="B17" s="40"/>
      <c r="C17" s="40"/>
      <c r="D17" s="40"/>
      <c r="E17" s="40"/>
      <c r="F17" s="40"/>
      <c r="G17" s="40"/>
    </row>
    <row r="18" spans="1:7" x14ac:dyDescent="0.25">
      <c r="A18" s="40" t="s">
        <v>19</v>
      </c>
      <c r="B18" s="40"/>
      <c r="C18" s="40"/>
      <c r="D18" s="40"/>
      <c r="E18" s="40"/>
      <c r="F18" s="40"/>
      <c r="G18" s="40"/>
    </row>
    <row r="19" spans="1:7" x14ac:dyDescent="0.25">
      <c r="A19" s="39" t="s">
        <v>18</v>
      </c>
      <c r="B19" s="40"/>
      <c r="C19" s="40"/>
      <c r="D19" s="40"/>
      <c r="E19" s="40"/>
      <c r="F19" s="40"/>
      <c r="G19" s="40"/>
    </row>
    <row r="20" spans="1:7" x14ac:dyDescent="0.25">
      <c r="A20" s="39" t="s">
        <v>20</v>
      </c>
      <c r="B20" s="40"/>
      <c r="C20" s="40"/>
      <c r="D20" s="40"/>
      <c r="E20" s="40"/>
      <c r="F20" s="40"/>
      <c r="G20" s="40"/>
    </row>
  </sheetData>
  <mergeCells count="5">
    <mergeCell ref="A7:C7"/>
    <mergeCell ref="A17:G17"/>
    <mergeCell ref="A18:G18"/>
    <mergeCell ref="A19:G19"/>
    <mergeCell ref="A20:G20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7" sqref="D7"/>
    </sheetView>
  </sheetViews>
  <sheetFormatPr defaultRowHeight="15" x14ac:dyDescent="0.25"/>
  <cols>
    <col min="1" max="1" width="21" style="33" customWidth="1"/>
    <col min="2" max="2" width="10.5703125" style="4" customWidth="1"/>
    <col min="3" max="4" width="12.85546875" style="4" customWidth="1"/>
    <col min="5" max="5" width="13.85546875" customWidth="1"/>
    <col min="6" max="6" width="14.85546875" customWidth="1"/>
    <col min="7" max="7" width="51.7109375" customWidth="1"/>
  </cols>
  <sheetData>
    <row r="1" spans="1:7" s="5" customFormat="1" x14ac:dyDescent="0.25">
      <c r="A1" s="31" t="s">
        <v>0</v>
      </c>
      <c r="B1" s="7" t="s">
        <v>8</v>
      </c>
      <c r="C1" s="7" t="s">
        <v>3</v>
      </c>
      <c r="D1" s="7" t="s">
        <v>10</v>
      </c>
      <c r="E1" s="12" t="s">
        <v>13</v>
      </c>
      <c r="F1" s="12" t="s">
        <v>2</v>
      </c>
      <c r="G1" s="7" t="s">
        <v>4</v>
      </c>
    </row>
    <row r="2" spans="1:7" s="9" customFormat="1" ht="105" x14ac:dyDescent="0.25">
      <c r="A2" s="10" t="s">
        <v>5</v>
      </c>
      <c r="B2" s="6">
        <v>1</v>
      </c>
      <c r="C2" s="8">
        <v>3.214</v>
      </c>
      <c r="D2" s="8">
        <f>C2*B2</f>
        <v>3.214</v>
      </c>
      <c r="E2" s="13">
        <v>260000</v>
      </c>
      <c r="F2" s="14">
        <f>E2*D2</f>
        <v>835640</v>
      </c>
      <c r="G2" s="10" t="s">
        <v>24</v>
      </c>
    </row>
    <row r="3" spans="1:7" s="9" customFormat="1" ht="105" x14ac:dyDescent="0.25">
      <c r="A3" s="10" t="s">
        <v>1</v>
      </c>
      <c r="B3" s="16">
        <v>1</v>
      </c>
      <c r="C3" s="8">
        <v>0.98109999999999997</v>
      </c>
      <c r="D3" s="8">
        <f>C3*B3</f>
        <v>0.98109999999999997</v>
      </c>
      <c r="E3" s="13">
        <v>260000</v>
      </c>
      <c r="F3" s="14">
        <f t="shared" ref="F3:F6" si="0">E3*D3</f>
        <v>255086</v>
      </c>
      <c r="G3" s="15" t="s">
        <v>6</v>
      </c>
    </row>
    <row r="4" spans="1:7" s="20" customFormat="1" ht="23.1" customHeight="1" x14ac:dyDescent="0.25">
      <c r="A4" s="32" t="s">
        <v>7</v>
      </c>
      <c r="B4" s="18">
        <v>1</v>
      </c>
      <c r="C4" s="19">
        <v>2.2100000000000002E-2</v>
      </c>
      <c r="D4" s="8">
        <f t="shared" ref="D4:D6" si="1">C4*B4</f>
        <v>2.2100000000000002E-2</v>
      </c>
      <c r="E4" s="13">
        <v>260000</v>
      </c>
      <c r="F4" s="14">
        <f t="shared" si="0"/>
        <v>5746</v>
      </c>
      <c r="G4" s="17" t="s">
        <v>22</v>
      </c>
    </row>
    <row r="5" spans="1:7" s="25" customFormat="1" ht="75" x14ac:dyDescent="0.25">
      <c r="A5" s="24" t="s">
        <v>9</v>
      </c>
      <c r="B5" s="22">
        <v>1</v>
      </c>
      <c r="C5" s="23">
        <v>3.2599999999999997E-2</v>
      </c>
      <c r="D5" s="8">
        <f t="shared" si="1"/>
        <v>3.2599999999999997E-2</v>
      </c>
      <c r="E5" s="13">
        <v>260000</v>
      </c>
      <c r="F5" s="14">
        <f t="shared" si="0"/>
        <v>8476</v>
      </c>
      <c r="G5" s="24" t="s">
        <v>23</v>
      </c>
    </row>
    <row r="6" spans="1:7" s="25" customFormat="1" ht="23.1" customHeight="1" x14ac:dyDescent="0.25">
      <c r="A6" s="24" t="s">
        <v>11</v>
      </c>
      <c r="B6" s="22">
        <v>1</v>
      </c>
      <c r="C6" s="23"/>
      <c r="D6" s="41">
        <f>SUM(D2:D5)*0.12</f>
        <v>0.50997599999999998</v>
      </c>
      <c r="E6" s="13">
        <v>260000</v>
      </c>
      <c r="F6" s="14">
        <f t="shared" si="0"/>
        <v>132593.76</v>
      </c>
      <c r="G6" s="21" t="s">
        <v>28</v>
      </c>
    </row>
    <row r="7" spans="1:7" s="25" customFormat="1" ht="23.1" customHeight="1" x14ac:dyDescent="0.25">
      <c r="A7" s="36" t="s">
        <v>2</v>
      </c>
      <c r="B7" s="37"/>
      <c r="C7" s="38"/>
      <c r="D7" s="28">
        <f>SUM(D2:D6)</f>
        <v>4.7597760000000005</v>
      </c>
      <c r="E7" s="29"/>
      <c r="F7" s="30">
        <f>SUM(F2:F6)</f>
        <v>1237541.76</v>
      </c>
      <c r="G7" s="21"/>
    </row>
    <row r="8" spans="1:7" s="2" customFormat="1" ht="23.1" customHeight="1" x14ac:dyDescent="0.25">
      <c r="A8" s="3"/>
      <c r="B8" s="1"/>
      <c r="C8" s="26"/>
      <c r="D8" s="26"/>
      <c r="F8" s="27"/>
    </row>
    <row r="9" spans="1:7" s="2" customFormat="1" ht="23.1" customHeight="1" x14ac:dyDescent="0.25">
      <c r="A9" s="3"/>
      <c r="B9" s="1"/>
      <c r="C9" s="26"/>
      <c r="D9" s="26"/>
      <c r="F9" s="27"/>
    </row>
    <row r="10" spans="1:7" x14ac:dyDescent="0.25">
      <c r="A10" s="34" t="s">
        <v>16</v>
      </c>
      <c r="B10"/>
      <c r="C10"/>
      <c r="D10"/>
    </row>
    <row r="11" spans="1:7" x14ac:dyDescent="0.25">
      <c r="A11" t="s">
        <v>25</v>
      </c>
      <c r="B11"/>
      <c r="C11"/>
      <c r="D11"/>
    </row>
    <row r="12" spans="1:7" x14ac:dyDescent="0.25">
      <c r="A12" t="s">
        <v>14</v>
      </c>
      <c r="B12"/>
      <c r="C12"/>
      <c r="D12"/>
    </row>
    <row r="13" spans="1:7" x14ac:dyDescent="0.25">
      <c r="A13" t="s">
        <v>21</v>
      </c>
      <c r="B13"/>
      <c r="C13"/>
      <c r="D13"/>
    </row>
    <row r="14" spans="1:7" x14ac:dyDescent="0.25">
      <c r="A14" t="s">
        <v>26</v>
      </c>
      <c r="B14"/>
      <c r="C14"/>
      <c r="D14"/>
    </row>
    <row r="15" spans="1:7" x14ac:dyDescent="0.25">
      <c r="A15"/>
      <c r="B15"/>
      <c r="C15"/>
      <c r="D15"/>
    </row>
    <row r="16" spans="1:7" x14ac:dyDescent="0.25">
      <c r="A16" s="35" t="s">
        <v>15</v>
      </c>
      <c r="B16"/>
      <c r="C16"/>
      <c r="D16"/>
    </row>
    <row r="17" spans="1:7" x14ac:dyDescent="0.25">
      <c r="A17" s="40" t="s">
        <v>17</v>
      </c>
      <c r="B17" s="40"/>
      <c r="C17" s="40"/>
      <c r="D17" s="40"/>
      <c r="E17" s="40"/>
      <c r="F17" s="40"/>
      <c r="G17" s="40"/>
    </row>
    <row r="18" spans="1:7" x14ac:dyDescent="0.25">
      <c r="A18" s="40" t="s">
        <v>19</v>
      </c>
      <c r="B18" s="40"/>
      <c r="C18" s="40"/>
      <c r="D18" s="40"/>
      <c r="E18" s="40"/>
      <c r="F18" s="40"/>
      <c r="G18" s="40"/>
    </row>
    <row r="19" spans="1:7" x14ac:dyDescent="0.25">
      <c r="A19" s="39" t="s">
        <v>18</v>
      </c>
      <c r="B19" s="40"/>
      <c r="C19" s="40"/>
      <c r="D19" s="40"/>
      <c r="E19" s="40"/>
      <c r="F19" s="40"/>
      <c r="G19" s="40"/>
    </row>
    <row r="20" spans="1:7" x14ac:dyDescent="0.25">
      <c r="A20" s="39" t="s">
        <v>20</v>
      </c>
      <c r="B20" s="40"/>
      <c r="C20" s="40"/>
      <c r="D20" s="40"/>
      <c r="E20" s="40"/>
      <c r="F20" s="40"/>
      <c r="G20" s="40"/>
    </row>
  </sheetData>
  <mergeCells count="5">
    <mergeCell ref="A7:C7"/>
    <mergeCell ref="A17:G17"/>
    <mergeCell ref="A18:G18"/>
    <mergeCell ref="A19:G19"/>
    <mergeCell ref="A20:G20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5" sqref="F5"/>
    </sheetView>
  </sheetViews>
  <sheetFormatPr defaultRowHeight="15" x14ac:dyDescent="0.25"/>
  <cols>
    <col min="1" max="1" width="21" style="33" customWidth="1"/>
    <col min="2" max="2" width="10.5703125" style="4" customWidth="1"/>
    <col min="3" max="4" width="12.85546875" style="4" customWidth="1"/>
    <col min="5" max="5" width="13.85546875" customWidth="1"/>
    <col min="6" max="6" width="14.85546875" customWidth="1"/>
    <col min="7" max="7" width="51.7109375" customWidth="1"/>
  </cols>
  <sheetData>
    <row r="1" spans="1:7" s="5" customFormat="1" x14ac:dyDescent="0.25">
      <c r="A1" s="31" t="s">
        <v>0</v>
      </c>
      <c r="B1" s="7" t="s">
        <v>8</v>
      </c>
      <c r="C1" s="7" t="s">
        <v>3</v>
      </c>
      <c r="D1" s="7" t="s">
        <v>10</v>
      </c>
      <c r="E1" s="12" t="s">
        <v>13</v>
      </c>
      <c r="F1" s="12" t="s">
        <v>2</v>
      </c>
      <c r="G1" s="7" t="s">
        <v>4</v>
      </c>
    </row>
    <row r="2" spans="1:7" s="9" customFormat="1" ht="105" x14ac:dyDescent="0.25">
      <c r="A2" s="10" t="s">
        <v>5</v>
      </c>
      <c r="B2" s="6">
        <v>1</v>
      </c>
      <c r="C2" s="8">
        <v>3.1509999999999998</v>
      </c>
      <c r="D2" s="8">
        <f>C2*B2</f>
        <v>3.1509999999999998</v>
      </c>
      <c r="E2" s="13">
        <v>320000</v>
      </c>
      <c r="F2" s="14">
        <f>E2*D2</f>
        <v>1008319.9999999999</v>
      </c>
      <c r="G2" s="10" t="s">
        <v>24</v>
      </c>
    </row>
    <row r="3" spans="1:7" s="9" customFormat="1" ht="105" x14ac:dyDescent="0.25">
      <c r="A3" s="10" t="s">
        <v>1</v>
      </c>
      <c r="B3" s="16">
        <v>1</v>
      </c>
      <c r="C3" s="8">
        <v>0.93540000000000001</v>
      </c>
      <c r="D3" s="8">
        <f>C3*B3</f>
        <v>0.93540000000000001</v>
      </c>
      <c r="E3" s="13">
        <v>320000</v>
      </c>
      <c r="F3" s="14">
        <f t="shared" ref="F3:F6" si="0">E3*D3</f>
        <v>299328</v>
      </c>
      <c r="G3" s="15" t="s">
        <v>6</v>
      </c>
    </row>
    <row r="4" spans="1:7" s="20" customFormat="1" ht="23.1" customHeight="1" x14ac:dyDescent="0.25">
      <c r="A4" s="32" t="s">
        <v>7</v>
      </c>
      <c r="B4" s="18">
        <v>1</v>
      </c>
      <c r="C4" s="19">
        <v>2.2100000000000002E-2</v>
      </c>
      <c r="D4" s="8">
        <f t="shared" ref="D4:D6" si="1">C4*B4</f>
        <v>2.2100000000000002E-2</v>
      </c>
      <c r="E4" s="13">
        <v>320000</v>
      </c>
      <c r="F4" s="14">
        <f t="shared" si="0"/>
        <v>7072.0000000000009</v>
      </c>
      <c r="G4" s="17" t="s">
        <v>22</v>
      </c>
    </row>
    <row r="5" spans="1:7" s="25" customFormat="1" ht="75" x14ac:dyDescent="0.25">
      <c r="A5" s="24" t="s">
        <v>9</v>
      </c>
      <c r="B5" s="22">
        <v>1</v>
      </c>
      <c r="C5" s="23">
        <v>3.1800000000000002E-2</v>
      </c>
      <c r="D5" s="8">
        <f t="shared" si="1"/>
        <v>3.1800000000000002E-2</v>
      </c>
      <c r="E5" s="13">
        <v>320000</v>
      </c>
      <c r="F5" s="14">
        <f t="shared" si="0"/>
        <v>10176</v>
      </c>
      <c r="G5" s="24" t="s">
        <v>23</v>
      </c>
    </row>
    <row r="6" spans="1:7" s="25" customFormat="1" ht="23.1" customHeight="1" x14ac:dyDescent="0.25">
      <c r="A6" s="24" t="s">
        <v>11</v>
      </c>
      <c r="B6" s="22">
        <v>1</v>
      </c>
      <c r="C6" s="23"/>
      <c r="D6" s="23">
        <f>SUM(D2:D5)*0.105</f>
        <v>0.43473149999999988</v>
      </c>
      <c r="E6" s="13">
        <v>320000</v>
      </c>
      <c r="F6" s="14">
        <f t="shared" si="0"/>
        <v>139114.07999999996</v>
      </c>
      <c r="G6" s="21" t="s">
        <v>27</v>
      </c>
    </row>
    <row r="7" spans="1:7" s="25" customFormat="1" ht="23.1" customHeight="1" x14ac:dyDescent="0.25">
      <c r="A7" s="36" t="s">
        <v>2</v>
      </c>
      <c r="B7" s="37"/>
      <c r="C7" s="38"/>
      <c r="D7" s="28">
        <f>SUM(D2:D6)</f>
        <v>4.5750314999999988</v>
      </c>
      <c r="E7" s="29"/>
      <c r="F7" s="30">
        <f>SUM(F2:F6)</f>
        <v>1464010.08</v>
      </c>
      <c r="G7" s="21"/>
    </row>
    <row r="8" spans="1:7" s="2" customFormat="1" ht="23.1" customHeight="1" x14ac:dyDescent="0.25">
      <c r="A8" s="3"/>
      <c r="B8" s="1"/>
      <c r="C8" s="26"/>
      <c r="D8" s="26"/>
      <c r="F8" s="27"/>
    </row>
    <row r="9" spans="1:7" s="2" customFormat="1" ht="23.1" customHeight="1" x14ac:dyDescent="0.25">
      <c r="A9" s="3"/>
      <c r="B9" s="1"/>
      <c r="C9" s="26"/>
      <c r="D9" s="26"/>
      <c r="F9" s="27"/>
    </row>
    <row r="10" spans="1:7" x14ac:dyDescent="0.25">
      <c r="A10" s="34" t="s">
        <v>16</v>
      </c>
      <c r="B10"/>
      <c r="C10"/>
      <c r="D10"/>
    </row>
    <row r="11" spans="1:7" x14ac:dyDescent="0.25">
      <c r="A11" t="s">
        <v>25</v>
      </c>
      <c r="B11"/>
      <c r="C11"/>
      <c r="D11"/>
    </row>
    <row r="12" spans="1:7" x14ac:dyDescent="0.25">
      <c r="A12" t="s">
        <v>14</v>
      </c>
      <c r="B12"/>
      <c r="C12"/>
      <c r="D12"/>
    </row>
    <row r="13" spans="1:7" x14ac:dyDescent="0.25">
      <c r="A13" t="s">
        <v>21</v>
      </c>
      <c r="B13"/>
      <c r="C13"/>
      <c r="D13"/>
    </row>
    <row r="14" spans="1:7" x14ac:dyDescent="0.25">
      <c r="A14" t="s">
        <v>26</v>
      </c>
      <c r="B14"/>
      <c r="C14"/>
      <c r="D14"/>
    </row>
    <row r="15" spans="1:7" x14ac:dyDescent="0.25">
      <c r="A15"/>
      <c r="B15"/>
      <c r="C15"/>
      <c r="D15"/>
    </row>
    <row r="16" spans="1:7" x14ac:dyDescent="0.25">
      <c r="A16" s="35" t="s">
        <v>15</v>
      </c>
      <c r="B16"/>
      <c r="C16"/>
      <c r="D16"/>
    </row>
    <row r="17" spans="1:7" x14ac:dyDescent="0.25">
      <c r="A17" s="40" t="s">
        <v>17</v>
      </c>
      <c r="B17" s="40"/>
      <c r="C17" s="40"/>
      <c r="D17" s="40"/>
      <c r="E17" s="40"/>
      <c r="F17" s="40"/>
      <c r="G17" s="40"/>
    </row>
    <row r="18" spans="1:7" x14ac:dyDescent="0.25">
      <c r="A18" s="40" t="s">
        <v>19</v>
      </c>
      <c r="B18" s="40"/>
      <c r="C18" s="40"/>
      <c r="D18" s="40"/>
      <c r="E18" s="40"/>
      <c r="F18" s="40"/>
      <c r="G18" s="40"/>
    </row>
    <row r="19" spans="1:7" x14ac:dyDescent="0.25">
      <c r="A19" s="39" t="s">
        <v>18</v>
      </c>
      <c r="B19" s="40"/>
      <c r="C19" s="40"/>
      <c r="D19" s="40"/>
      <c r="E19" s="40"/>
      <c r="F19" s="40"/>
      <c r="G19" s="40"/>
    </row>
    <row r="20" spans="1:7" x14ac:dyDescent="0.25">
      <c r="A20" s="39" t="s">
        <v>20</v>
      </c>
      <c r="B20" s="40"/>
      <c r="C20" s="40"/>
      <c r="D20" s="40"/>
      <c r="E20" s="40"/>
      <c r="F20" s="40"/>
      <c r="G20" s="40"/>
    </row>
  </sheetData>
  <mergeCells count="5">
    <mergeCell ref="A7:C7"/>
    <mergeCell ref="A17:G17"/>
    <mergeCell ref="A18:G18"/>
    <mergeCell ref="A19:G19"/>
    <mergeCell ref="A20:G20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M37" sqref="M37"/>
    </sheetView>
  </sheetViews>
  <sheetFormatPr defaultRowHeight="15" x14ac:dyDescent="0.25"/>
  <sheetData>
    <row r="1" spans="1:9" x14ac:dyDescent="0.25">
      <c r="A1" s="42" t="s">
        <v>30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40" t="s">
        <v>29</v>
      </c>
      <c r="B2" s="40"/>
      <c r="C2" s="40"/>
      <c r="D2" s="40"/>
      <c r="E2" s="40"/>
      <c r="F2" s="40"/>
      <c r="G2" s="40"/>
      <c r="H2" s="40"/>
    </row>
    <row r="3" spans="1:9" x14ac:dyDescent="0.25">
      <c r="A3" s="40" t="s">
        <v>31</v>
      </c>
      <c r="B3" s="40"/>
      <c r="C3" s="40"/>
      <c r="D3" s="40"/>
      <c r="E3" s="40"/>
      <c r="F3" s="40"/>
      <c r="G3" s="40"/>
      <c r="H3" s="40"/>
    </row>
  </sheetData>
  <mergeCells count="3">
    <mergeCell ref="A1:I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Octopus OV7725-110K</vt:lpstr>
      <vt:lpstr>Octopus OV7725-206K</vt:lpstr>
      <vt:lpstr>Octopus OV7725-260K</vt:lpstr>
      <vt:lpstr>Octopus OV7725-320K</vt:lpstr>
      <vt:lpstr>Sample production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2019-08-09T18:45:14Z</dcterms:modified>
</cp:coreProperties>
</file>